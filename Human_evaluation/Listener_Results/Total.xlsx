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mir.avdusinovic/Documents/Documents - UNIL66N27NR9J/EA_Audio/Paper_ACIIDS/Human_evaluation/Listener_Results/"/>
    </mc:Choice>
  </mc:AlternateContent>
  <xr:revisionPtr revIDLastSave="0" documentId="13_ncr:1_{2EBEF839-D700-C247-A4D2-CBE42F366830}" xr6:coauthVersionLast="47" xr6:coauthVersionMax="47" xr10:uidLastSave="{00000000-0000-0000-0000-000000000000}"/>
  <bookViews>
    <workbookView xWindow="8320" yWindow="3860" windowWidth="34560" windowHeight="21680" activeTab="1" xr2:uid="{AB065C0E-8B93-2744-B8A5-65CFBE4F7C46}"/>
  </bookViews>
  <sheets>
    <sheet name="Q1" sheetId="1" r:id="rId1"/>
    <sheet name="Tot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0" i="2" l="1"/>
  <c r="O40" i="2"/>
  <c r="N40" i="2"/>
  <c r="O31" i="2"/>
  <c r="O32" i="2"/>
  <c r="O33" i="2"/>
  <c r="O34" i="2"/>
  <c r="O35" i="2"/>
  <c r="O36" i="2"/>
  <c r="O37" i="2"/>
  <c r="O38" i="2"/>
  <c r="O39" i="2"/>
  <c r="N31" i="2"/>
  <c r="N32" i="2"/>
  <c r="N33" i="2"/>
  <c r="N34" i="2"/>
  <c r="N35" i="2"/>
  <c r="N36" i="2"/>
  <c r="N37" i="2"/>
  <c r="N38" i="2"/>
  <c r="N39" i="2"/>
  <c r="O30" i="2"/>
  <c r="P26" i="2"/>
  <c r="P25" i="2"/>
  <c r="P24" i="2"/>
  <c r="P23" i="2"/>
  <c r="P22" i="2"/>
  <c r="P21" i="2"/>
  <c r="P20" i="2"/>
  <c r="P19" i="2"/>
  <c r="O26" i="2"/>
  <c r="O25" i="2"/>
  <c r="O24" i="2"/>
  <c r="O23" i="2"/>
  <c r="O22" i="2"/>
  <c r="O21" i="2"/>
  <c r="O20" i="2"/>
  <c r="O19" i="2"/>
  <c r="P18" i="2"/>
  <c r="O18" i="2"/>
  <c r="P17" i="2"/>
  <c r="O17" i="2"/>
</calcChain>
</file>

<file path=xl/sharedStrings.xml><?xml version="1.0" encoding="utf-8"?>
<sst xmlns="http://schemas.openxmlformats.org/spreadsheetml/2006/main" count="158" uniqueCount="125">
  <si>
    <t>File name</t>
  </si>
  <si>
    <t>47.wav</t>
  </si>
  <si>
    <t>233.wav</t>
  </si>
  <si>
    <t>99.wav</t>
  </si>
  <si>
    <t>4.wav</t>
  </si>
  <si>
    <t>169.wav</t>
  </si>
  <si>
    <t>42.wav</t>
  </si>
  <si>
    <t>222.wav</t>
  </si>
  <si>
    <t>198.wav</t>
  </si>
  <si>
    <t>177.wav</t>
  </si>
  <si>
    <t>224.wav</t>
  </si>
  <si>
    <t>Do you recognize the adversarial audio as the "clean" word?</t>
  </si>
  <si>
    <t>Is there a noticeable difference between clean and adversarial audio?</t>
  </si>
  <si>
    <t>108.wav</t>
  </si>
  <si>
    <t>118.wav</t>
  </si>
  <si>
    <t>507.wav</t>
  </si>
  <si>
    <t>467.wav</t>
  </si>
  <si>
    <t>668.wav</t>
  </si>
  <si>
    <t>214.wav</t>
  </si>
  <si>
    <t>319.wav</t>
  </si>
  <si>
    <t>476.wav</t>
  </si>
  <si>
    <t>798.wav</t>
  </si>
  <si>
    <t>34.wav</t>
  </si>
  <si>
    <t>466.wav</t>
  </si>
  <si>
    <t>458.wav</t>
  </si>
  <si>
    <t>482.wav</t>
  </si>
  <si>
    <t>522.wav</t>
  </si>
  <si>
    <t>452.wav</t>
  </si>
  <si>
    <t>49.wav</t>
  </si>
  <si>
    <t>249.wav</t>
  </si>
  <si>
    <t>463.wav</t>
  </si>
  <si>
    <t>272.wav</t>
  </si>
  <si>
    <t>273.wav</t>
  </si>
  <si>
    <t>314.wav</t>
  </si>
  <si>
    <t>567.wav</t>
  </si>
  <si>
    <t>486.wav</t>
  </si>
  <si>
    <t>542.wav</t>
  </si>
  <si>
    <t>127.wav</t>
  </si>
  <si>
    <t>657.wav</t>
  </si>
  <si>
    <t>258.wav</t>
  </si>
  <si>
    <t>478.wav</t>
  </si>
  <si>
    <t>434.wav</t>
  </si>
  <si>
    <t>484.wav</t>
  </si>
  <si>
    <t>1988.wav</t>
  </si>
  <si>
    <t>1828.wav</t>
  </si>
  <si>
    <t>1998.wav</t>
  </si>
  <si>
    <t>1908.wav</t>
  </si>
  <si>
    <t>1932.wav</t>
  </si>
  <si>
    <t>1959.wav</t>
  </si>
  <si>
    <t>1664.wav</t>
  </si>
  <si>
    <t>1706.wav</t>
  </si>
  <si>
    <t>1903.wav</t>
  </si>
  <si>
    <t>1952.wav</t>
  </si>
  <si>
    <t>497.wav</t>
  </si>
  <si>
    <t>77.wav</t>
  </si>
  <si>
    <t>439.wav</t>
  </si>
  <si>
    <t>349.wav</t>
  </si>
  <si>
    <t>232.wav</t>
  </si>
  <si>
    <t>343.wav</t>
  </si>
  <si>
    <t>202.wav</t>
  </si>
  <si>
    <t>413.wav</t>
  </si>
  <si>
    <t>411.wav</t>
  </si>
  <si>
    <t>494.wav</t>
  </si>
  <si>
    <t>237.wav</t>
  </si>
  <si>
    <t>324.wav</t>
  </si>
  <si>
    <t>309.wav</t>
  </si>
  <si>
    <t>317.wav</t>
  </si>
  <si>
    <t>8.wav</t>
  </si>
  <si>
    <t>114.wav</t>
  </si>
  <si>
    <t>239.wav</t>
  </si>
  <si>
    <t>279.wav</t>
  </si>
  <si>
    <t>163.wav</t>
  </si>
  <si>
    <t>172.wav</t>
  </si>
  <si>
    <t>387.wav</t>
  </si>
  <si>
    <t>103.wav</t>
  </si>
  <si>
    <t>139.wav</t>
  </si>
  <si>
    <t>217.wav</t>
  </si>
  <si>
    <t>74.wav</t>
  </si>
  <si>
    <t>97.wav</t>
  </si>
  <si>
    <t>147.wav</t>
  </si>
  <si>
    <t>754.wav</t>
  </si>
  <si>
    <t>453.wav</t>
  </si>
  <si>
    <t>487.wav</t>
  </si>
  <si>
    <t>178.wav</t>
  </si>
  <si>
    <t>313.wav</t>
  </si>
  <si>
    <t>669.wav</t>
  </si>
  <si>
    <t>489.wav</t>
  </si>
  <si>
    <t>444.wav</t>
  </si>
  <si>
    <t>423.wav</t>
  </si>
  <si>
    <t>982.wav</t>
  </si>
  <si>
    <t>933.wav</t>
  </si>
  <si>
    <t>909.wav</t>
  </si>
  <si>
    <t>1417.wav</t>
  </si>
  <si>
    <t>913.wav</t>
  </si>
  <si>
    <t>924.wav</t>
  </si>
  <si>
    <t>1409.wav</t>
  </si>
  <si>
    <t>1378.wav</t>
  </si>
  <si>
    <t>208.wav</t>
  </si>
  <si>
    <t>Please answer the questions with True or False.</t>
  </si>
  <si>
    <t>Yes to Q1</t>
  </si>
  <si>
    <t>Yes to Q2</t>
  </si>
  <si>
    <t>All results compiled</t>
  </si>
  <si>
    <t>Q1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</si>
  <si>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</si>
  <si>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</si>
  <si>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</si>
  <si>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</si>
  <si>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</si>
  <si>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</si>
  <si>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</si>
  <si>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</si>
  <si>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</si>
  <si>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</si>
  <si>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Yes</t>
  </si>
  <si>
    <t>Up</t>
  </si>
  <si>
    <t>Stop</t>
  </si>
  <si>
    <t>Right</t>
  </si>
  <si>
    <t>On</t>
  </si>
  <si>
    <t xml:space="preserve">Off </t>
  </si>
  <si>
    <t>No</t>
  </si>
  <si>
    <t>Left</t>
  </si>
  <si>
    <t>Go</t>
  </si>
  <si>
    <t>Down</t>
  </si>
  <si>
    <t>Q2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</si>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</sst>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28"/>
      <color theme="1"/>
      <name val="Aptos Narrow (Body)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Border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E4BFC-749F-034B-9F6C-3948A72B7F6A}">
  <dimension ref="A1:O101"/>
  <sheetViews>
    <sheetView zoomScale="130" zoomScaleNormal="130" workbookViewId="0">
      <selection activeCell="F2" sqref="F2"/>
    </sheetView>
  </sheetViews>
  <sheetFormatPr baseColWidth="10" defaultRowHeight="16" x14ac:dyDescent="0.2"/>
  <cols>
    <col min="2" max="2" width="21.83203125" customWidth="1"/>
    <col min="3" max="3" width="21.5" customWidth="1"/>
  </cols>
  <sheetData>
    <row r="1" spans="1:15" ht="47" customHeight="1" x14ac:dyDescent="0.2">
      <c r="A1" s="1" t="s">
        <v>0</v>
      </c>
      <c r="B1" s="2" t="s">
        <v>12</v>
      </c>
      <c r="C1" s="2" t="s">
        <v>11</v>
      </c>
    </row>
    <row r="2" spans="1:15" x14ac:dyDescent="0.2">
      <c r="A2" s="3" t="s">
        <v>1</v>
      </c>
      <c r="B2" s="3"/>
      <c r="C2" s="3"/>
    </row>
    <row r="3" spans="1:15" x14ac:dyDescent="0.2">
      <c r="A3" s="3" t="s">
        <v>2</v>
      </c>
      <c r="B3" s="3"/>
      <c r="C3" s="3"/>
    </row>
    <row r="4" spans="1:15" x14ac:dyDescent="0.2">
      <c r="A4" s="3" t="s">
        <v>3</v>
      </c>
      <c r="B4" s="3"/>
      <c r="C4" s="3"/>
    </row>
    <row r="5" spans="1:15" x14ac:dyDescent="0.2">
      <c r="A5" s="3" t="s">
        <v>4</v>
      </c>
      <c r="B5" s="3"/>
      <c r="C5" s="3"/>
    </row>
    <row r="6" spans="1:15" x14ac:dyDescent="0.2">
      <c r="A6" s="3" t="s">
        <v>5</v>
      </c>
      <c r="B6" s="3"/>
      <c r="C6" s="3"/>
    </row>
    <row r="7" spans="1:15" x14ac:dyDescent="0.2">
      <c r="A7" s="3" t="s">
        <v>6</v>
      </c>
      <c r="B7" s="3"/>
      <c r="C7" s="3"/>
      <c r="G7" s="4" t="s">
        <v>98</v>
      </c>
      <c r="H7" s="5"/>
      <c r="I7" s="5"/>
      <c r="J7" s="5"/>
      <c r="K7" s="5"/>
      <c r="L7" s="5"/>
      <c r="M7" s="5"/>
      <c r="N7" s="5"/>
      <c r="O7" s="5"/>
    </row>
    <row r="8" spans="1:15" x14ac:dyDescent="0.2">
      <c r="A8" s="3" t="s">
        <v>7</v>
      </c>
      <c r="B8" s="3"/>
      <c r="C8" s="3"/>
      <c r="G8" s="5"/>
      <c r="H8" s="5"/>
      <c r="I8" s="5"/>
      <c r="J8" s="5"/>
      <c r="K8" s="5"/>
      <c r="L8" s="5"/>
      <c r="M8" s="5"/>
      <c r="N8" s="5"/>
      <c r="O8" s="5"/>
    </row>
    <row r="9" spans="1:15" x14ac:dyDescent="0.2">
      <c r="A9" s="3" t="s">
        <v>8</v>
      </c>
      <c r="B9" s="3"/>
      <c r="C9" s="3"/>
      <c r="G9" s="5"/>
      <c r="H9" s="5"/>
      <c r="I9" s="5"/>
      <c r="J9" s="5"/>
      <c r="K9" s="5"/>
      <c r="L9" s="5"/>
      <c r="M9" s="5"/>
      <c r="N9" s="5"/>
      <c r="O9" s="5"/>
    </row>
    <row r="10" spans="1:15" ht="16" customHeight="1" x14ac:dyDescent="0.2">
      <c r="A10" s="3" t="s">
        <v>9</v>
      </c>
      <c r="B10" s="3"/>
      <c r="C10" s="3"/>
    </row>
    <row r="11" spans="1:15" x14ac:dyDescent="0.2">
      <c r="A11" s="3" t="s">
        <v>10</v>
      </c>
      <c r="B11" s="3"/>
      <c r="C11" s="3"/>
    </row>
    <row r="12" spans="1:15" x14ac:dyDescent="0.2">
      <c r="A12" s="3" t="s">
        <v>13</v>
      </c>
      <c r="B12" s="3"/>
      <c r="C12" s="3"/>
    </row>
    <row r="13" spans="1:15" x14ac:dyDescent="0.2">
      <c r="A13" s="3" t="s">
        <v>15</v>
      </c>
      <c r="B13" s="3"/>
      <c r="C13" s="3"/>
    </row>
    <row r="14" spans="1:15" x14ac:dyDescent="0.2">
      <c r="A14" s="3" t="s">
        <v>16</v>
      </c>
      <c r="B14" s="3"/>
      <c r="C14" s="3"/>
    </row>
    <row r="15" spans="1:15" x14ac:dyDescent="0.2">
      <c r="A15" s="3" t="s">
        <v>17</v>
      </c>
      <c r="B15" s="3"/>
      <c r="C15" s="3"/>
    </row>
    <row r="16" spans="1:15" x14ac:dyDescent="0.2">
      <c r="A16" s="3" t="s">
        <v>18</v>
      </c>
      <c r="B16" s="3"/>
      <c r="C16" s="3"/>
    </row>
    <row r="17" spans="1:3" x14ac:dyDescent="0.2">
      <c r="A17" s="3" t="s">
        <v>19</v>
      </c>
      <c r="B17" s="3"/>
      <c r="C17" s="3"/>
    </row>
    <row r="18" spans="1:3" x14ac:dyDescent="0.2">
      <c r="A18" s="3" t="s">
        <v>20</v>
      </c>
      <c r="B18" s="3"/>
      <c r="C18" s="3"/>
    </row>
    <row r="19" spans="1:3" x14ac:dyDescent="0.2">
      <c r="A19" s="3" t="s">
        <v>21</v>
      </c>
      <c r="B19" s="3"/>
      <c r="C19" s="3"/>
    </row>
    <row r="20" spans="1:3" x14ac:dyDescent="0.2">
      <c r="A20" s="3" t="s">
        <v>22</v>
      </c>
      <c r="B20" s="3"/>
      <c r="C20" s="3"/>
    </row>
    <row r="21" spans="1:3" x14ac:dyDescent="0.2">
      <c r="A21" s="3" t="s">
        <v>23</v>
      </c>
      <c r="B21" s="3"/>
      <c r="C21" s="3"/>
    </row>
    <row r="22" spans="1:3" x14ac:dyDescent="0.2">
      <c r="A22" s="3" t="s">
        <v>24</v>
      </c>
      <c r="B22" s="3"/>
      <c r="C22" s="3"/>
    </row>
    <row r="23" spans="1:3" x14ac:dyDescent="0.2">
      <c r="A23" s="3" t="s">
        <v>25</v>
      </c>
      <c r="B23" s="3"/>
      <c r="C23" s="3"/>
    </row>
    <row r="24" spans="1:3" x14ac:dyDescent="0.2">
      <c r="A24" s="3" t="s">
        <v>26</v>
      </c>
      <c r="B24" s="3"/>
      <c r="C24" s="3"/>
    </row>
    <row r="25" spans="1:3" x14ac:dyDescent="0.2">
      <c r="A25" s="3" t="s">
        <v>27</v>
      </c>
      <c r="B25" s="3"/>
      <c r="C25" s="3"/>
    </row>
    <row r="26" spans="1:3" x14ac:dyDescent="0.2">
      <c r="A26" s="3" t="s">
        <v>28</v>
      </c>
      <c r="B26" s="3"/>
      <c r="C26" s="3"/>
    </row>
    <row r="27" spans="1:3" x14ac:dyDescent="0.2">
      <c r="A27" s="3" t="s">
        <v>29</v>
      </c>
      <c r="B27" s="3"/>
      <c r="C27" s="3"/>
    </row>
    <row r="28" spans="1:3" x14ac:dyDescent="0.2">
      <c r="A28" s="3" t="s">
        <v>30</v>
      </c>
      <c r="B28" s="3"/>
      <c r="C28" s="3"/>
    </row>
    <row r="29" spans="1:3" x14ac:dyDescent="0.2">
      <c r="A29" s="3" t="s">
        <v>31</v>
      </c>
      <c r="B29" s="3"/>
      <c r="C29" s="3"/>
    </row>
    <row r="30" spans="1:3" x14ac:dyDescent="0.2">
      <c r="A30" s="3" t="s">
        <v>32</v>
      </c>
      <c r="B30" s="3"/>
      <c r="C30" s="3"/>
    </row>
    <row r="31" spans="1:3" x14ac:dyDescent="0.2">
      <c r="A31" s="3" t="s">
        <v>33</v>
      </c>
      <c r="B31" s="3"/>
      <c r="C31" s="3"/>
    </row>
    <row r="32" spans="1:3" x14ac:dyDescent="0.2">
      <c r="A32" s="3" t="s">
        <v>34</v>
      </c>
      <c r="B32" s="3"/>
      <c r="C32" s="3"/>
    </row>
    <row r="33" spans="1:3" x14ac:dyDescent="0.2">
      <c r="A33" s="3" t="s">
        <v>35</v>
      </c>
      <c r="B33" s="3"/>
      <c r="C33" s="3"/>
    </row>
    <row r="34" spans="1:3" x14ac:dyDescent="0.2">
      <c r="A34" s="3" t="s">
        <v>36</v>
      </c>
      <c r="B34" s="3"/>
      <c r="C34" s="3"/>
    </row>
    <row r="35" spans="1:3" x14ac:dyDescent="0.2">
      <c r="A35" s="3" t="s">
        <v>37</v>
      </c>
      <c r="B35" s="3"/>
      <c r="C35" s="3"/>
    </row>
    <row r="36" spans="1:3" x14ac:dyDescent="0.2">
      <c r="A36" s="3" t="s">
        <v>38</v>
      </c>
      <c r="B36" s="3"/>
      <c r="C36" s="3"/>
    </row>
    <row r="37" spans="1:3" x14ac:dyDescent="0.2">
      <c r="A37" s="3" t="s">
        <v>39</v>
      </c>
      <c r="B37" s="3"/>
      <c r="C37" s="3"/>
    </row>
    <row r="38" spans="1:3" x14ac:dyDescent="0.2">
      <c r="A38" s="3" t="s">
        <v>40</v>
      </c>
      <c r="B38" s="3"/>
      <c r="C38" s="3"/>
    </row>
    <row r="39" spans="1:3" x14ac:dyDescent="0.2">
      <c r="A39" s="3" t="s">
        <v>41</v>
      </c>
      <c r="B39" s="3"/>
      <c r="C39" s="3"/>
    </row>
    <row r="40" spans="1:3" x14ac:dyDescent="0.2">
      <c r="A40" s="3" t="s">
        <v>42</v>
      </c>
      <c r="B40" s="3"/>
      <c r="C40" s="3"/>
    </row>
    <row r="41" spans="1:3" x14ac:dyDescent="0.2">
      <c r="A41" s="3" t="s">
        <v>14</v>
      </c>
      <c r="B41" s="3"/>
      <c r="C41" s="3"/>
    </row>
    <row r="42" spans="1:3" x14ac:dyDescent="0.2">
      <c r="A42" s="3" t="s">
        <v>43</v>
      </c>
      <c r="B42" s="3"/>
      <c r="C42" s="3"/>
    </row>
    <row r="43" spans="1:3" x14ac:dyDescent="0.2">
      <c r="A43" s="3" t="s">
        <v>44</v>
      </c>
      <c r="B43" s="3"/>
      <c r="C43" s="3"/>
    </row>
    <row r="44" spans="1:3" x14ac:dyDescent="0.2">
      <c r="A44" s="3" t="s">
        <v>45</v>
      </c>
      <c r="B44" s="3"/>
      <c r="C44" s="3"/>
    </row>
    <row r="45" spans="1:3" x14ac:dyDescent="0.2">
      <c r="A45" s="3" t="s">
        <v>46</v>
      </c>
      <c r="B45" s="3"/>
      <c r="C45" s="3"/>
    </row>
    <row r="46" spans="1:3" x14ac:dyDescent="0.2">
      <c r="A46" s="3" t="s">
        <v>47</v>
      </c>
      <c r="B46" s="3"/>
      <c r="C46" s="3"/>
    </row>
    <row r="47" spans="1:3" x14ac:dyDescent="0.2">
      <c r="A47" s="3" t="s">
        <v>48</v>
      </c>
      <c r="B47" s="3"/>
      <c r="C47" s="3"/>
    </row>
    <row r="48" spans="1:3" x14ac:dyDescent="0.2">
      <c r="A48" s="3" t="s">
        <v>49</v>
      </c>
      <c r="B48" s="3"/>
      <c r="C48" s="3"/>
    </row>
    <row r="49" spans="1:3" x14ac:dyDescent="0.2">
      <c r="A49" s="3" t="s">
        <v>50</v>
      </c>
      <c r="B49" s="3"/>
      <c r="C49" s="3"/>
    </row>
    <row r="50" spans="1:3" x14ac:dyDescent="0.2">
      <c r="A50" s="3" t="s">
        <v>51</v>
      </c>
      <c r="B50" s="3"/>
      <c r="C50" s="3"/>
    </row>
    <row r="51" spans="1:3" x14ac:dyDescent="0.2">
      <c r="A51" s="3" t="s">
        <v>52</v>
      </c>
      <c r="B51" s="3"/>
      <c r="C51" s="3"/>
    </row>
    <row r="52" spans="1:3" x14ac:dyDescent="0.2">
      <c r="A52" s="3" t="s">
        <v>53</v>
      </c>
      <c r="B52" s="3"/>
      <c r="C52" s="3"/>
    </row>
    <row r="53" spans="1:3" x14ac:dyDescent="0.2">
      <c r="A53" s="3" t="s">
        <v>54</v>
      </c>
      <c r="B53" s="3"/>
      <c r="C53" s="3"/>
    </row>
    <row r="54" spans="1:3" x14ac:dyDescent="0.2">
      <c r="A54" s="3" t="s">
        <v>55</v>
      </c>
      <c r="B54" s="3"/>
      <c r="C54" s="3"/>
    </row>
    <row r="55" spans="1:3" x14ac:dyDescent="0.2">
      <c r="A55" s="3" t="s">
        <v>56</v>
      </c>
      <c r="B55" s="3"/>
      <c r="C55" s="3"/>
    </row>
    <row r="56" spans="1:3" x14ac:dyDescent="0.2">
      <c r="A56" s="3" t="s">
        <v>57</v>
      </c>
      <c r="B56" s="3"/>
      <c r="C56" s="3"/>
    </row>
    <row r="57" spans="1:3" x14ac:dyDescent="0.2">
      <c r="A57" s="3" t="s">
        <v>58</v>
      </c>
      <c r="B57" s="3"/>
      <c r="C57" s="3"/>
    </row>
    <row r="58" spans="1:3" x14ac:dyDescent="0.2">
      <c r="A58" s="3" t="s">
        <v>59</v>
      </c>
      <c r="B58" s="3"/>
      <c r="C58" s="3"/>
    </row>
    <row r="59" spans="1:3" x14ac:dyDescent="0.2">
      <c r="A59" s="3" t="s">
        <v>60</v>
      </c>
      <c r="B59" s="3"/>
      <c r="C59" s="3"/>
    </row>
    <row r="60" spans="1:3" x14ac:dyDescent="0.2">
      <c r="A60" s="3" t="s">
        <v>61</v>
      </c>
      <c r="B60" s="3"/>
      <c r="C60" s="3"/>
    </row>
    <row r="61" spans="1:3" x14ac:dyDescent="0.2">
      <c r="A61" s="3" t="s">
        <v>62</v>
      </c>
      <c r="B61" s="3"/>
      <c r="C61" s="3"/>
    </row>
    <row r="62" spans="1:3" x14ac:dyDescent="0.2">
      <c r="A62" s="3" t="s">
        <v>63</v>
      </c>
      <c r="B62" s="3"/>
      <c r="C62" s="3"/>
    </row>
    <row r="63" spans="1:3" x14ac:dyDescent="0.2">
      <c r="A63" s="3" t="s">
        <v>64</v>
      </c>
      <c r="B63" s="3"/>
      <c r="C63" s="3"/>
    </row>
    <row r="64" spans="1:3" x14ac:dyDescent="0.2">
      <c r="A64" s="3" t="s">
        <v>54</v>
      </c>
      <c r="B64" s="3"/>
      <c r="C64" s="3"/>
    </row>
    <row r="65" spans="1:3" x14ac:dyDescent="0.2">
      <c r="A65" s="3" t="s">
        <v>65</v>
      </c>
      <c r="B65" s="3"/>
      <c r="C65" s="3"/>
    </row>
    <row r="66" spans="1:3" x14ac:dyDescent="0.2">
      <c r="A66" s="3" t="s">
        <v>66</v>
      </c>
      <c r="B66" s="3"/>
      <c r="C66" s="3"/>
    </row>
    <row r="67" spans="1:3" x14ac:dyDescent="0.2">
      <c r="A67" s="3" t="s">
        <v>22</v>
      </c>
      <c r="B67" s="3"/>
      <c r="C67" s="3"/>
    </row>
    <row r="68" spans="1:3" x14ac:dyDescent="0.2">
      <c r="A68" s="3" t="s">
        <v>67</v>
      </c>
      <c r="B68" s="3"/>
      <c r="C68" s="3"/>
    </row>
    <row r="69" spans="1:3" x14ac:dyDescent="0.2">
      <c r="A69" s="3" t="s">
        <v>68</v>
      </c>
      <c r="B69" s="3"/>
      <c r="C69" s="3"/>
    </row>
    <row r="70" spans="1:3" x14ac:dyDescent="0.2">
      <c r="A70" s="3" t="s">
        <v>69</v>
      </c>
      <c r="B70" s="3"/>
      <c r="C70" s="3"/>
    </row>
    <row r="71" spans="1:3" x14ac:dyDescent="0.2">
      <c r="A71" s="3" t="s">
        <v>70</v>
      </c>
      <c r="B71" s="3"/>
      <c r="C71" s="3"/>
    </row>
    <row r="72" spans="1:3" x14ac:dyDescent="0.2">
      <c r="A72" s="3" t="s">
        <v>71</v>
      </c>
      <c r="B72" s="3"/>
      <c r="C72" s="3"/>
    </row>
    <row r="73" spans="1:3" x14ac:dyDescent="0.2">
      <c r="A73" s="3" t="s">
        <v>72</v>
      </c>
      <c r="B73" s="3"/>
      <c r="C73" s="3"/>
    </row>
    <row r="74" spans="1:3" x14ac:dyDescent="0.2">
      <c r="A74" s="3" t="s">
        <v>73</v>
      </c>
      <c r="B74" s="3"/>
      <c r="C74" s="3"/>
    </row>
    <row r="75" spans="1:3" x14ac:dyDescent="0.2">
      <c r="A75" s="3" t="s">
        <v>74</v>
      </c>
      <c r="B75" s="3"/>
      <c r="C75" s="3"/>
    </row>
    <row r="76" spans="1:3" x14ac:dyDescent="0.2">
      <c r="A76" s="3" t="s">
        <v>75</v>
      </c>
      <c r="B76" s="3"/>
      <c r="C76" s="3"/>
    </row>
    <row r="77" spans="1:3" x14ac:dyDescent="0.2">
      <c r="A77" s="3" t="s">
        <v>70</v>
      </c>
      <c r="B77" s="3"/>
      <c r="C77" s="3"/>
    </row>
    <row r="78" spans="1:3" x14ac:dyDescent="0.2">
      <c r="A78" s="3" t="s">
        <v>76</v>
      </c>
      <c r="B78" s="3"/>
      <c r="C78" s="3"/>
    </row>
    <row r="79" spans="1:3" x14ac:dyDescent="0.2">
      <c r="A79" s="3" t="s">
        <v>77</v>
      </c>
      <c r="B79" s="3"/>
      <c r="C79" s="3"/>
    </row>
    <row r="80" spans="1:3" x14ac:dyDescent="0.2">
      <c r="A80" s="3" t="s">
        <v>78</v>
      </c>
      <c r="B80" s="3"/>
      <c r="C80" s="3"/>
    </row>
    <row r="81" spans="1:3" x14ac:dyDescent="0.2">
      <c r="A81" s="3" t="s">
        <v>79</v>
      </c>
      <c r="B81" s="3"/>
      <c r="C81" s="3"/>
    </row>
    <row r="82" spans="1:3" x14ac:dyDescent="0.2">
      <c r="A82" s="3" t="s">
        <v>80</v>
      </c>
      <c r="B82" s="3"/>
      <c r="C82" s="3"/>
    </row>
    <row r="83" spans="1:3" x14ac:dyDescent="0.2">
      <c r="A83" s="3" t="s">
        <v>81</v>
      </c>
      <c r="B83" s="3"/>
      <c r="C83" s="3"/>
    </row>
    <row r="84" spans="1:3" x14ac:dyDescent="0.2">
      <c r="A84" s="3" t="s">
        <v>82</v>
      </c>
      <c r="B84" s="3"/>
      <c r="C84" s="3"/>
    </row>
    <row r="85" spans="1:3" x14ac:dyDescent="0.2">
      <c r="A85" s="3" t="s">
        <v>83</v>
      </c>
      <c r="B85" s="3"/>
      <c r="C85" s="3"/>
    </row>
    <row r="86" spans="1:3" x14ac:dyDescent="0.2">
      <c r="A86" s="3" t="s">
        <v>23</v>
      </c>
      <c r="B86" s="3"/>
      <c r="C86" s="3"/>
    </row>
    <row r="87" spans="1:3" x14ac:dyDescent="0.2">
      <c r="A87" s="3" t="s">
        <v>84</v>
      </c>
      <c r="B87" s="3"/>
      <c r="C87" s="3"/>
    </row>
    <row r="88" spans="1:3" x14ac:dyDescent="0.2">
      <c r="A88" s="3" t="s">
        <v>85</v>
      </c>
      <c r="B88" s="3"/>
      <c r="C88" s="3"/>
    </row>
    <row r="89" spans="1:3" x14ac:dyDescent="0.2">
      <c r="A89" s="3" t="s">
        <v>29</v>
      </c>
      <c r="B89" s="3"/>
      <c r="C89" s="3"/>
    </row>
    <row r="90" spans="1:3" x14ac:dyDescent="0.2">
      <c r="A90" s="3" t="s">
        <v>86</v>
      </c>
      <c r="B90" s="3"/>
      <c r="C90" s="3"/>
    </row>
    <row r="91" spans="1:3" x14ac:dyDescent="0.2">
      <c r="A91" s="3" t="s">
        <v>87</v>
      </c>
      <c r="B91" s="3"/>
      <c r="C91" s="3"/>
    </row>
    <row r="92" spans="1:3" x14ac:dyDescent="0.2">
      <c r="A92" s="3" t="s">
        <v>88</v>
      </c>
      <c r="B92" s="3"/>
      <c r="C92" s="3"/>
    </row>
    <row r="93" spans="1:3" x14ac:dyDescent="0.2">
      <c r="A93" s="3" t="s">
        <v>89</v>
      </c>
      <c r="B93" s="3"/>
      <c r="C93" s="3"/>
    </row>
    <row r="94" spans="1:3" x14ac:dyDescent="0.2">
      <c r="A94" s="3" t="s">
        <v>90</v>
      </c>
      <c r="B94" s="3"/>
      <c r="C94" s="3"/>
    </row>
    <row r="95" spans="1:3" x14ac:dyDescent="0.2">
      <c r="A95" s="3" t="s">
        <v>91</v>
      </c>
      <c r="B95" s="3"/>
      <c r="C95" s="3"/>
    </row>
    <row r="96" spans="1:3" x14ac:dyDescent="0.2">
      <c r="A96" s="3" t="s">
        <v>92</v>
      </c>
      <c r="B96" s="3"/>
      <c r="C96" s="3"/>
    </row>
    <row r="97" spans="1:3" x14ac:dyDescent="0.2">
      <c r="A97" s="3" t="s">
        <v>93</v>
      </c>
      <c r="B97" s="3"/>
      <c r="C97" s="3"/>
    </row>
    <row r="98" spans="1:3" x14ac:dyDescent="0.2">
      <c r="A98" s="3" t="s">
        <v>94</v>
      </c>
      <c r="B98" s="3"/>
      <c r="C98" s="3"/>
    </row>
    <row r="99" spans="1:3" x14ac:dyDescent="0.2">
      <c r="A99" s="3" t="s">
        <v>95</v>
      </c>
      <c r="B99" s="3"/>
      <c r="C99" s="3"/>
    </row>
    <row r="100" spans="1:3" x14ac:dyDescent="0.2">
      <c r="A100" s="3" t="s">
        <v>96</v>
      </c>
      <c r="B100" s="3"/>
      <c r="C100" s="3"/>
    </row>
    <row r="101" spans="1:3" x14ac:dyDescent="0.2">
      <c r="A101" s="3" t="s">
        <v>97</v>
      </c>
      <c r="B101" s="3"/>
      <c r="C101" s="3"/>
    </row>
  </sheetData>
  <mergeCells count="1">
    <mergeCell ref="G7:O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651B5-5B6A-F547-AC43-F6E97A3AFDA0}">
  <dimension ref="M1:AG60"/>
  <sheetViews>
    <sheetView tabSelected="1" topLeftCell="J1" workbookViewId="0">
      <selection activeCell="M29" sqref="M29:O40"/>
    </sheetView>
  </sheetViews>
  <sheetFormatPr baseColWidth="10" defaultRowHeight="16" x14ac:dyDescent="0.2"/>
  <sheetData>
    <row r="1" spans="13:33" x14ac:dyDescent="0.2">
      <c r="M1" t="s">
        <v>101</v>
      </c>
      <c r="N1" s="6" t="s">
        <v>103</v>
      </c>
      <c r="O1" s="6"/>
      <c r="P1" s="6" t="s">
        <v>104</v>
      </c>
      <c r="Q1" s="6"/>
      <c r="R1" s="6" t="s">
        <v>105</v>
      </c>
      <c r="S1" s="6"/>
      <c r="T1" s="6" t="s">
        <v>106</v>
      </c>
      <c r="U1" s="6"/>
      <c r="V1" s="6" t="s">
        <v>107</v>
      </c>
      <c r="W1" s="6"/>
      <c r="X1" s="6" t="s">
        <v>108</v>
      </c>
      <c r="Y1" s="6"/>
      <c r="Z1" s="6" t="s">
        <v>109</v>
      </c>
      <c r="AA1" s="6"/>
      <c r="AB1" s="6" t="s">
        <v>110</v>
      </c>
      <c r="AC1" s="6"/>
      <c r="AD1" s="6" t="s">
        <v>111</v>
      </c>
      <c r="AE1" s="6"/>
      <c r="AF1" s="6" t="s">
        <v>112</v>
      </c>
      <c r="AG1" s="6"/>
    </row>
    <row r="2" spans="13:33" x14ac:dyDescent="0.2">
      <c r="M2" s="3"/>
      <c r="N2" s="3" t="s">
        <v>102</v>
      </c>
      <c r="O2" s="3" t="s">
        <v>123</v>
      </c>
      <c r="P2" s="3" t="s">
        <v>102</v>
      </c>
      <c r="Q2" s="3" t="s">
        <v>123</v>
      </c>
      <c r="R2" s="3" t="s">
        <v>102</v>
      </c>
      <c r="S2" s="3" t="s">
        <v>123</v>
      </c>
      <c r="T2" s="3" t="s">
        <v>102</v>
      </c>
      <c r="U2" s="3" t="s">
        <v>123</v>
      </c>
      <c r="V2" s="3" t="s">
        <v>102</v>
      </c>
      <c r="W2" s="3" t="s">
        <v>123</v>
      </c>
      <c r="X2" s="3" t="s">
        <v>102</v>
      </c>
      <c r="Y2" s="3" t="s">
        <v>123</v>
      </c>
      <c r="Z2" s="3" t="s">
        <v>102</v>
      </c>
      <c r="AA2" s="3" t="s">
        <v>123</v>
      </c>
      <c r="AB2" s="3" t="s">
        <v>102</v>
      </c>
      <c r="AC2" s="3" t="s">
        <v>123</v>
      </c>
      <c r="AD2" s="3" t="s">
        <v>102</v>
      </c>
      <c r="AE2" s="3" t="s">
        <v>123</v>
      </c>
      <c r="AF2" s="3" t="s">
        <v>102</v>
      </c>
      <c r="AG2" s="3" t="s">
        <v>123</v>
      </c>
    </row>
    <row r="3" spans="13:33" x14ac:dyDescent="0.2">
      <c r="M3" s="3" t="s">
        <v>113</v>
      </c>
      <c r="N3" s="3">
        <v>10</v>
      </c>
      <c r="O3" s="3">
        <v>10</v>
      </c>
      <c r="P3" s="3">
        <v>0</v>
      </c>
      <c r="Q3" s="3">
        <v>10</v>
      </c>
      <c r="R3" s="3">
        <v>10</v>
      </c>
      <c r="S3" s="3">
        <v>10</v>
      </c>
      <c r="T3" s="3">
        <v>6</v>
      </c>
      <c r="U3" s="3">
        <v>10</v>
      </c>
      <c r="V3" s="3">
        <v>3</v>
      </c>
      <c r="W3" s="3">
        <v>10</v>
      </c>
      <c r="X3" s="3">
        <v>3</v>
      </c>
      <c r="Y3" s="3">
        <v>10</v>
      </c>
      <c r="Z3" s="3">
        <v>1</v>
      </c>
      <c r="AA3" s="3">
        <v>10</v>
      </c>
      <c r="AB3" s="3">
        <v>3</v>
      </c>
      <c r="AC3" s="3">
        <v>10</v>
      </c>
      <c r="AD3" s="3">
        <v>6</v>
      </c>
      <c r="AE3" s="3">
        <v>10</v>
      </c>
      <c r="AF3" s="3">
        <v>0</v>
      </c>
      <c r="AG3" s="3">
        <v>10</v>
      </c>
    </row>
    <row r="4" spans="13:33" x14ac:dyDescent="0.2">
      <c r="M4" s="3" t="s">
        <v>114</v>
      </c>
      <c r="N4" s="3">
        <v>10</v>
      </c>
      <c r="O4" s="3">
        <v>10</v>
      </c>
      <c r="P4" s="3">
        <v>4</v>
      </c>
      <c r="Q4" s="3">
        <v>4</v>
      </c>
      <c r="R4" s="3">
        <v>8</v>
      </c>
      <c r="S4" s="3">
        <v>10</v>
      </c>
      <c r="T4" s="3">
        <v>4</v>
      </c>
      <c r="U4" s="3">
        <v>10</v>
      </c>
      <c r="V4" s="3">
        <v>1</v>
      </c>
      <c r="W4" s="3">
        <v>3</v>
      </c>
      <c r="X4" s="3">
        <v>0</v>
      </c>
      <c r="Y4" s="3">
        <v>3</v>
      </c>
      <c r="Z4" s="3">
        <v>4</v>
      </c>
      <c r="AA4" s="3">
        <v>9</v>
      </c>
      <c r="AB4" s="3">
        <v>4</v>
      </c>
      <c r="AC4" s="3">
        <v>10</v>
      </c>
      <c r="AD4" s="3">
        <v>4</v>
      </c>
      <c r="AE4" s="3">
        <v>3</v>
      </c>
      <c r="AF4" s="3">
        <v>0</v>
      </c>
      <c r="AG4" s="3">
        <v>10</v>
      </c>
    </row>
    <row r="5" spans="13:33" x14ac:dyDescent="0.2">
      <c r="M5" s="3" t="s">
        <v>115</v>
      </c>
      <c r="N5" s="3">
        <v>3</v>
      </c>
      <c r="O5" s="3">
        <v>10</v>
      </c>
      <c r="P5" s="3">
        <v>10</v>
      </c>
      <c r="Q5" s="3">
        <v>8</v>
      </c>
      <c r="R5" s="3">
        <v>4</v>
      </c>
      <c r="S5" s="3">
        <v>10</v>
      </c>
      <c r="T5" s="3">
        <v>0</v>
      </c>
      <c r="U5" s="3">
        <v>10</v>
      </c>
      <c r="V5" s="3">
        <v>1</v>
      </c>
      <c r="W5" s="3">
        <v>10</v>
      </c>
      <c r="X5" s="3">
        <v>0</v>
      </c>
      <c r="Y5" s="3">
        <v>10</v>
      </c>
      <c r="Z5" s="3">
        <v>0</v>
      </c>
      <c r="AA5" s="3">
        <v>10</v>
      </c>
      <c r="AB5" s="3">
        <v>3</v>
      </c>
      <c r="AC5" s="3">
        <v>10</v>
      </c>
      <c r="AD5" s="3">
        <v>3</v>
      </c>
      <c r="AE5" s="3">
        <v>9</v>
      </c>
      <c r="AF5" s="3">
        <v>0</v>
      </c>
      <c r="AG5" s="3">
        <v>10</v>
      </c>
    </row>
    <row r="6" spans="13:33" x14ac:dyDescent="0.2">
      <c r="M6" s="3" t="s">
        <v>116</v>
      </c>
      <c r="N6" s="3">
        <v>9</v>
      </c>
      <c r="O6" s="3">
        <v>10</v>
      </c>
      <c r="P6" s="3">
        <v>3</v>
      </c>
      <c r="Q6" s="3">
        <v>9</v>
      </c>
      <c r="R6" s="3">
        <v>7</v>
      </c>
      <c r="S6" s="3">
        <v>10</v>
      </c>
      <c r="T6" s="3">
        <v>3</v>
      </c>
      <c r="U6" s="3">
        <v>8</v>
      </c>
      <c r="V6" s="3">
        <v>3</v>
      </c>
      <c r="W6" s="3">
        <v>10</v>
      </c>
      <c r="X6" s="3">
        <v>2</v>
      </c>
      <c r="Y6" s="3">
        <v>10</v>
      </c>
      <c r="Z6" s="3">
        <v>6</v>
      </c>
      <c r="AA6" s="3">
        <v>10</v>
      </c>
      <c r="AB6" s="3">
        <v>0</v>
      </c>
      <c r="AC6" s="3">
        <v>10</v>
      </c>
      <c r="AD6" s="3">
        <v>3</v>
      </c>
      <c r="AE6" s="3">
        <v>6</v>
      </c>
      <c r="AF6" s="3">
        <v>0</v>
      </c>
      <c r="AG6" s="3">
        <v>10</v>
      </c>
    </row>
    <row r="7" spans="13:33" x14ac:dyDescent="0.2">
      <c r="M7" s="3" t="s">
        <v>117</v>
      </c>
      <c r="N7" s="3">
        <v>10</v>
      </c>
      <c r="O7" s="3">
        <v>10</v>
      </c>
      <c r="P7" s="3">
        <v>3</v>
      </c>
      <c r="Q7" s="3">
        <v>5</v>
      </c>
      <c r="R7" s="3">
        <v>6</v>
      </c>
      <c r="S7" s="3">
        <v>10</v>
      </c>
      <c r="T7" s="3">
        <v>6</v>
      </c>
      <c r="U7" s="3">
        <v>10</v>
      </c>
      <c r="V7" s="3">
        <v>0</v>
      </c>
      <c r="W7" s="3">
        <v>0</v>
      </c>
      <c r="X7" s="3">
        <v>8</v>
      </c>
      <c r="Y7" s="3">
        <v>10</v>
      </c>
      <c r="Z7" s="3">
        <v>4</v>
      </c>
      <c r="AA7" s="3">
        <v>10</v>
      </c>
      <c r="AB7" s="3">
        <v>0</v>
      </c>
      <c r="AC7" s="3">
        <v>0</v>
      </c>
      <c r="AD7" s="3">
        <v>3</v>
      </c>
      <c r="AE7" s="3">
        <v>0</v>
      </c>
      <c r="AF7" s="3">
        <v>0</v>
      </c>
      <c r="AG7" s="3">
        <v>10</v>
      </c>
    </row>
    <row r="8" spans="13:33" x14ac:dyDescent="0.2">
      <c r="M8" s="3" t="s">
        <v>118</v>
      </c>
      <c r="N8" s="3">
        <v>9</v>
      </c>
      <c r="O8" s="3">
        <v>10</v>
      </c>
      <c r="P8" s="3">
        <v>1</v>
      </c>
      <c r="Q8" s="3">
        <v>10</v>
      </c>
      <c r="R8" s="3">
        <v>6</v>
      </c>
      <c r="S8" s="3">
        <v>10</v>
      </c>
      <c r="T8" s="3">
        <v>4</v>
      </c>
      <c r="U8" s="3">
        <v>10</v>
      </c>
      <c r="V8" s="3">
        <v>3</v>
      </c>
      <c r="W8" s="3">
        <v>9</v>
      </c>
      <c r="X8" s="3">
        <v>3</v>
      </c>
      <c r="Y8" s="3">
        <v>10</v>
      </c>
      <c r="Z8" s="3">
        <v>2</v>
      </c>
      <c r="AA8" s="3">
        <v>10</v>
      </c>
      <c r="AB8" s="3">
        <v>2</v>
      </c>
      <c r="AC8" s="3">
        <v>9</v>
      </c>
      <c r="AD8" s="3">
        <v>6</v>
      </c>
      <c r="AE8" s="3">
        <v>7</v>
      </c>
      <c r="AF8" s="3">
        <v>0</v>
      </c>
      <c r="AG8" s="3">
        <v>10</v>
      </c>
    </row>
    <row r="9" spans="13:33" x14ac:dyDescent="0.2">
      <c r="M9" s="3" t="s">
        <v>119</v>
      </c>
      <c r="N9" s="3">
        <v>10</v>
      </c>
      <c r="O9" s="3">
        <v>10</v>
      </c>
      <c r="P9" s="3">
        <v>2</v>
      </c>
      <c r="Q9" s="3">
        <v>10</v>
      </c>
      <c r="R9" s="3">
        <v>6</v>
      </c>
      <c r="S9" s="3">
        <v>10</v>
      </c>
      <c r="T9" s="3">
        <v>5</v>
      </c>
      <c r="U9" s="3">
        <v>10</v>
      </c>
      <c r="V9" s="3">
        <v>1</v>
      </c>
      <c r="W9" s="3">
        <v>10</v>
      </c>
      <c r="X9" s="3">
        <v>10</v>
      </c>
      <c r="Y9" s="3">
        <v>10</v>
      </c>
      <c r="Z9" s="3">
        <v>6</v>
      </c>
      <c r="AA9" s="3">
        <v>10</v>
      </c>
      <c r="AB9" s="3">
        <v>3</v>
      </c>
      <c r="AC9" s="3">
        <v>10</v>
      </c>
      <c r="AD9" s="3">
        <v>6</v>
      </c>
      <c r="AE9" s="3">
        <v>6</v>
      </c>
      <c r="AF9" s="3">
        <v>0</v>
      </c>
      <c r="AG9" s="3">
        <v>10</v>
      </c>
    </row>
    <row r="10" spans="13:33" x14ac:dyDescent="0.2">
      <c r="M10" s="3" t="s">
        <v>120</v>
      </c>
      <c r="N10" s="3">
        <v>7</v>
      </c>
      <c r="O10" s="3">
        <v>10</v>
      </c>
      <c r="P10" s="3">
        <v>3</v>
      </c>
      <c r="Q10" s="3">
        <v>10</v>
      </c>
      <c r="R10" s="3">
        <v>7</v>
      </c>
      <c r="S10" s="3">
        <v>10</v>
      </c>
      <c r="T10" s="3">
        <v>3</v>
      </c>
      <c r="U10" s="3">
        <v>10</v>
      </c>
      <c r="V10" s="3">
        <v>1</v>
      </c>
      <c r="W10" s="3">
        <v>10</v>
      </c>
      <c r="X10" s="3">
        <v>5</v>
      </c>
      <c r="Y10" s="3">
        <v>10</v>
      </c>
      <c r="Z10" s="3">
        <v>6</v>
      </c>
      <c r="AA10" s="3">
        <v>10</v>
      </c>
      <c r="AB10" s="3">
        <v>0</v>
      </c>
      <c r="AC10" s="3">
        <v>10</v>
      </c>
      <c r="AD10" s="3">
        <v>5</v>
      </c>
      <c r="AE10" s="3">
        <v>10</v>
      </c>
      <c r="AF10" s="3">
        <v>0</v>
      </c>
      <c r="AG10" s="3">
        <v>10</v>
      </c>
    </row>
    <row r="11" spans="13:33" x14ac:dyDescent="0.2">
      <c r="M11" s="3" t="s">
        <v>121</v>
      </c>
      <c r="N11" s="3">
        <v>9</v>
      </c>
      <c r="O11" s="3">
        <v>10</v>
      </c>
      <c r="P11" s="3">
        <v>3</v>
      </c>
      <c r="Q11" s="3">
        <v>10</v>
      </c>
      <c r="R11" s="3">
        <v>9</v>
      </c>
      <c r="S11" s="3">
        <v>10</v>
      </c>
      <c r="T11" s="3">
        <v>5</v>
      </c>
      <c r="U11" s="3">
        <v>10</v>
      </c>
      <c r="V11" s="3">
        <v>0</v>
      </c>
      <c r="W11" s="3">
        <v>10</v>
      </c>
      <c r="X11" s="3">
        <v>10</v>
      </c>
      <c r="Y11" s="3">
        <v>10</v>
      </c>
      <c r="Z11" s="3">
        <v>10</v>
      </c>
      <c r="AA11" s="3">
        <v>10</v>
      </c>
      <c r="AB11" s="3">
        <v>0</v>
      </c>
      <c r="AC11" s="3">
        <v>10</v>
      </c>
      <c r="AD11" s="3">
        <v>8</v>
      </c>
      <c r="AE11" s="3">
        <v>10</v>
      </c>
      <c r="AF11" s="3">
        <v>0</v>
      </c>
      <c r="AG11" s="3">
        <v>10</v>
      </c>
    </row>
    <row r="12" spans="13:33" x14ac:dyDescent="0.2">
      <c r="M12" s="3" t="s">
        <v>122</v>
      </c>
      <c r="N12" s="3">
        <v>9</v>
      </c>
      <c r="O12" s="3">
        <v>10</v>
      </c>
      <c r="P12" s="3">
        <v>3</v>
      </c>
      <c r="Q12" s="3">
        <v>6</v>
      </c>
      <c r="R12" s="3">
        <v>10</v>
      </c>
      <c r="S12" s="3">
        <v>10</v>
      </c>
      <c r="T12" s="3">
        <v>3</v>
      </c>
      <c r="U12" s="3">
        <v>3</v>
      </c>
      <c r="V12" s="3">
        <v>0</v>
      </c>
      <c r="W12" s="3">
        <v>8</v>
      </c>
      <c r="X12" s="3">
        <v>10</v>
      </c>
      <c r="Y12" s="3">
        <v>5</v>
      </c>
      <c r="Z12" s="3">
        <v>10</v>
      </c>
      <c r="AA12" s="3">
        <v>10</v>
      </c>
      <c r="AB12" s="3">
        <v>0</v>
      </c>
      <c r="AC12" s="3">
        <v>1</v>
      </c>
      <c r="AD12" s="3">
        <v>8</v>
      </c>
      <c r="AE12" s="3">
        <v>2</v>
      </c>
      <c r="AF12" s="3">
        <v>0</v>
      </c>
      <c r="AG12" s="3">
        <v>10</v>
      </c>
    </row>
    <row r="15" spans="13:33" x14ac:dyDescent="0.2"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3:33" x14ac:dyDescent="0.2"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3:23" x14ac:dyDescent="0.2">
      <c r="M17" s="7"/>
      <c r="N17" s="7"/>
      <c r="O17" s="7">
        <f>J2</f>
        <v>0</v>
      </c>
      <c r="P17" s="7">
        <f>K2</f>
        <v>0</v>
      </c>
      <c r="Q17" s="7"/>
      <c r="R17" s="7"/>
      <c r="S17" s="7"/>
      <c r="T17" s="7"/>
      <c r="U17" s="7"/>
      <c r="V17" s="7"/>
      <c r="W17" s="7"/>
    </row>
    <row r="18" spans="13:23" x14ac:dyDescent="0.2">
      <c r="M18" s="7"/>
      <c r="N18" s="7"/>
      <c r="O18" s="7">
        <f>J12</f>
        <v>0</v>
      </c>
      <c r="P18" s="7">
        <f>K12</f>
        <v>0</v>
      </c>
      <c r="Q18" s="7"/>
      <c r="R18" s="7"/>
      <c r="S18" s="7"/>
      <c r="T18" s="7"/>
      <c r="U18" s="7"/>
      <c r="V18" s="7"/>
      <c r="W18" s="7"/>
    </row>
    <row r="19" spans="13:23" x14ac:dyDescent="0.2">
      <c r="M19" s="7"/>
      <c r="N19" s="7"/>
      <c r="O19" s="7">
        <f>J22</f>
        <v>0</v>
      </c>
      <c r="P19" s="7">
        <f>K22</f>
        <v>0</v>
      </c>
      <c r="Q19" s="7"/>
      <c r="R19" s="7"/>
      <c r="S19" s="7"/>
      <c r="T19" s="7"/>
      <c r="U19" s="7"/>
      <c r="V19" s="7"/>
      <c r="W19" s="7"/>
    </row>
    <row r="20" spans="13:23" x14ac:dyDescent="0.2">
      <c r="M20" s="7"/>
      <c r="N20" s="7"/>
      <c r="O20" s="7">
        <f>J32</f>
        <v>0</v>
      </c>
      <c r="P20" s="7">
        <f>K32</f>
        <v>0</v>
      </c>
      <c r="Q20" s="7"/>
      <c r="R20" s="7"/>
      <c r="S20" s="7"/>
      <c r="T20" s="7"/>
      <c r="U20" s="7"/>
      <c r="V20" s="7"/>
      <c r="W20" s="7"/>
    </row>
    <row r="21" spans="13:23" x14ac:dyDescent="0.2">
      <c r="M21" s="7"/>
      <c r="N21" s="7"/>
      <c r="O21" s="7">
        <f>J42</f>
        <v>0</v>
      </c>
      <c r="P21" s="7">
        <f>K42</f>
        <v>0</v>
      </c>
      <c r="Q21" s="7"/>
      <c r="R21" s="7"/>
      <c r="S21" s="7"/>
      <c r="T21" s="7"/>
      <c r="U21" s="7"/>
      <c r="V21" s="7"/>
      <c r="W21" s="7"/>
    </row>
    <row r="22" spans="13:23" x14ac:dyDescent="0.2">
      <c r="M22" s="7"/>
      <c r="N22" s="7"/>
      <c r="O22" s="7">
        <f>J52</f>
        <v>0</v>
      </c>
      <c r="P22" s="7">
        <f>K52</f>
        <v>0</v>
      </c>
      <c r="Q22" s="7"/>
      <c r="R22" s="7"/>
      <c r="S22" s="7"/>
      <c r="T22" s="7"/>
      <c r="U22" s="7"/>
      <c r="V22" s="7"/>
      <c r="W22" s="7"/>
    </row>
    <row r="23" spans="13:23" x14ac:dyDescent="0.2">
      <c r="M23" s="7"/>
      <c r="N23" s="7"/>
      <c r="O23" s="7">
        <f>J62</f>
        <v>0</v>
      </c>
      <c r="P23" s="7">
        <f>K62</f>
        <v>0</v>
      </c>
      <c r="Q23" s="7"/>
      <c r="R23" s="7"/>
      <c r="S23" s="7"/>
      <c r="T23" s="7"/>
      <c r="U23" s="7"/>
      <c r="V23" s="7"/>
      <c r="W23" s="7"/>
    </row>
    <row r="24" spans="13:23" x14ac:dyDescent="0.2">
      <c r="M24" s="7"/>
      <c r="N24" s="7"/>
      <c r="O24" s="7">
        <f>J72</f>
        <v>0</v>
      </c>
      <c r="P24" s="7">
        <f>K72</f>
        <v>0</v>
      </c>
      <c r="Q24" s="7"/>
      <c r="R24" s="7"/>
      <c r="S24" s="7"/>
      <c r="T24" s="7"/>
      <c r="U24" s="7"/>
      <c r="V24" s="7"/>
      <c r="W24" s="7"/>
    </row>
    <row r="25" spans="13:23" x14ac:dyDescent="0.2">
      <c r="M25" s="7"/>
      <c r="N25" s="7"/>
      <c r="O25" s="7">
        <f>J82</f>
        <v>0</v>
      </c>
      <c r="P25" s="7">
        <f>K82</f>
        <v>0</v>
      </c>
      <c r="Q25" s="7"/>
      <c r="R25" s="7"/>
      <c r="S25" s="7"/>
      <c r="T25" s="7"/>
      <c r="U25" s="7"/>
      <c r="V25" s="7"/>
      <c r="W25" s="7"/>
    </row>
    <row r="26" spans="13:23" x14ac:dyDescent="0.2">
      <c r="O26">
        <f>J92</f>
        <v>0</v>
      </c>
      <c r="P26">
        <f>K92</f>
        <v>0</v>
      </c>
    </row>
    <row r="29" spans="13:23" x14ac:dyDescent="0.2">
      <c r="N29" s="3" t="s">
        <v>99</v>
      </c>
      <c r="O29" s="3" t="s">
        <v>100</v>
      </c>
      <c r="P29" s="3"/>
      <c r="Q29" s="3"/>
      <c r="R29" s="3"/>
      <c r="S29" s="3"/>
      <c r="T29" s="3"/>
      <c r="U29" s="3"/>
      <c r="V29" s="3"/>
      <c r="W29" s="3"/>
    </row>
    <row r="30" spans="13:23" x14ac:dyDescent="0.2">
      <c r="M30" s="3" t="s">
        <v>113</v>
      </c>
      <c r="N30" s="3">
        <f>AVERAGE(N3,P3,R3,T3,V3,X3,Z3,AB3,AD3,AF3)*10</f>
        <v>42</v>
      </c>
      <c r="O30" s="3">
        <f>AVERAGE(O3,Q3,S3,U3,W3,Y3,AA3,AC3,AE3,AG3)*10</f>
        <v>100</v>
      </c>
    </row>
    <row r="31" spans="13:23" x14ac:dyDescent="0.2">
      <c r="M31" s="3" t="s">
        <v>114</v>
      </c>
      <c r="N31" s="3">
        <f t="shared" ref="N31:N39" si="0">AVERAGE(N4,P4,R4,T4,V4,X4,Z4,AB4,AD4,AF4)*10</f>
        <v>39</v>
      </c>
      <c r="O31" s="3">
        <f t="shared" ref="O31:O39" si="1">AVERAGE(O4,Q4,S4,U4,W4,Y4,AA4,AC4,AE4,AG4)*10</f>
        <v>72</v>
      </c>
    </row>
    <row r="32" spans="13:23" x14ac:dyDescent="0.2">
      <c r="M32" s="3" t="s">
        <v>115</v>
      </c>
      <c r="N32" s="3">
        <f t="shared" si="0"/>
        <v>24</v>
      </c>
      <c r="O32" s="3">
        <f t="shared" si="1"/>
        <v>97</v>
      </c>
    </row>
    <row r="33" spans="13:15" x14ac:dyDescent="0.2">
      <c r="M33" s="3" t="s">
        <v>116</v>
      </c>
      <c r="N33" s="3">
        <f t="shared" si="0"/>
        <v>36</v>
      </c>
      <c r="O33" s="3">
        <f t="shared" si="1"/>
        <v>93</v>
      </c>
    </row>
    <row r="34" spans="13:15" x14ac:dyDescent="0.2">
      <c r="M34" s="3" t="s">
        <v>117</v>
      </c>
      <c r="N34" s="3">
        <f t="shared" si="0"/>
        <v>40</v>
      </c>
      <c r="O34" s="3">
        <f t="shared" si="1"/>
        <v>65</v>
      </c>
    </row>
    <row r="35" spans="13:15" x14ac:dyDescent="0.2">
      <c r="M35" s="3" t="s">
        <v>118</v>
      </c>
      <c r="N35" s="3">
        <f t="shared" si="0"/>
        <v>36</v>
      </c>
      <c r="O35" s="3">
        <f t="shared" si="1"/>
        <v>95</v>
      </c>
    </row>
    <row r="36" spans="13:15" x14ac:dyDescent="0.2">
      <c r="M36" s="3" t="s">
        <v>119</v>
      </c>
      <c r="N36" s="3">
        <f t="shared" si="0"/>
        <v>49</v>
      </c>
      <c r="O36" s="3">
        <f t="shared" si="1"/>
        <v>96</v>
      </c>
    </row>
    <row r="37" spans="13:15" x14ac:dyDescent="0.2">
      <c r="M37" s="3" t="s">
        <v>120</v>
      </c>
      <c r="N37" s="3">
        <f t="shared" si="0"/>
        <v>37</v>
      </c>
      <c r="O37" s="3">
        <f t="shared" si="1"/>
        <v>100</v>
      </c>
    </row>
    <row r="38" spans="13:15" x14ac:dyDescent="0.2">
      <c r="M38" s="3" t="s">
        <v>121</v>
      </c>
      <c r="N38" s="3">
        <f t="shared" si="0"/>
        <v>54</v>
      </c>
      <c r="O38" s="3">
        <f t="shared" si="1"/>
        <v>100</v>
      </c>
    </row>
    <row r="39" spans="13:15" x14ac:dyDescent="0.2">
      <c r="M39" s="3" t="s">
        <v>122</v>
      </c>
      <c r="N39" s="3">
        <f t="shared" si="0"/>
        <v>53</v>
      </c>
      <c r="O39" s="3">
        <f t="shared" si="1"/>
        <v>65</v>
      </c>
    </row>
    <row r="40" spans="13:15" x14ac:dyDescent="0.2">
      <c r="M40" s="8" t="s">
        <v>124</v>
      </c>
      <c r="N40" s="8">
        <f>AVERAGE(N30:N39)</f>
        <v>41</v>
      </c>
      <c r="O40" s="8">
        <f>AVERAGE(O30:O39)</f>
        <v>88.3</v>
      </c>
    </row>
    <row r="47" spans="13:15" x14ac:dyDescent="0.2">
      <c r="N47">
        <v>42</v>
      </c>
      <c r="O47">
        <v>100</v>
      </c>
    </row>
    <row r="48" spans="13:15" x14ac:dyDescent="0.2">
      <c r="N48">
        <v>39</v>
      </c>
      <c r="O48">
        <v>72</v>
      </c>
    </row>
    <row r="49" spans="14:23" x14ac:dyDescent="0.2">
      <c r="N49">
        <v>24</v>
      </c>
      <c r="O49">
        <v>97</v>
      </c>
    </row>
    <row r="50" spans="14:23" x14ac:dyDescent="0.2">
      <c r="N50">
        <v>36</v>
      </c>
      <c r="O50">
        <v>93</v>
      </c>
    </row>
    <row r="51" spans="14:23" x14ac:dyDescent="0.2">
      <c r="N51">
        <v>40</v>
      </c>
      <c r="O51">
        <v>65</v>
      </c>
    </row>
    <row r="52" spans="14:23" x14ac:dyDescent="0.2">
      <c r="N52">
        <v>36</v>
      </c>
      <c r="O52">
        <v>95</v>
      </c>
    </row>
    <row r="53" spans="14:23" x14ac:dyDescent="0.2">
      <c r="N53">
        <v>49</v>
      </c>
      <c r="O53">
        <v>96</v>
      </c>
    </row>
    <row r="54" spans="14:23" x14ac:dyDescent="0.2">
      <c r="N54">
        <v>37</v>
      </c>
      <c r="O54">
        <v>100</v>
      </c>
    </row>
    <row r="55" spans="14:23" x14ac:dyDescent="0.2">
      <c r="N55">
        <v>54</v>
      </c>
      <c r="O55">
        <v>100</v>
      </c>
    </row>
    <row r="56" spans="14:23" x14ac:dyDescent="0.2">
      <c r="N56">
        <v>53</v>
      </c>
      <c r="O56">
        <v>65</v>
      </c>
    </row>
    <row r="59" spans="14:23" x14ac:dyDescent="0.2">
      <c r="N59">
        <v>42</v>
      </c>
      <c r="O59">
        <v>39</v>
      </c>
      <c r="P59">
        <v>24</v>
      </c>
      <c r="Q59">
        <v>36</v>
      </c>
      <c r="R59">
        <v>40</v>
      </c>
      <c r="S59">
        <v>36</v>
      </c>
      <c r="T59">
        <v>49</v>
      </c>
      <c r="U59">
        <v>37</v>
      </c>
      <c r="V59">
        <v>54</v>
      </c>
      <c r="W59">
        <v>53</v>
      </c>
    </row>
    <row r="60" spans="14:23" x14ac:dyDescent="0.2">
      <c r="N60">
        <v>100</v>
      </c>
      <c r="O60">
        <v>72</v>
      </c>
      <c r="P60">
        <v>97</v>
      </c>
      <c r="Q60">
        <v>93</v>
      </c>
      <c r="R60">
        <v>65</v>
      </c>
      <c r="S60">
        <v>95</v>
      </c>
      <c r="T60">
        <v>96</v>
      </c>
      <c r="U60">
        <v>100</v>
      </c>
      <c r="V60">
        <v>100</v>
      </c>
      <c r="W60">
        <v>65</v>
      </c>
    </row>
  </sheetData>
  <mergeCells count="10">
    <mergeCell ref="AB1:AC1"/>
    <mergeCell ref="AD1:AE1"/>
    <mergeCell ref="AF1:AG1"/>
    <mergeCell ref="N1:O1"/>
    <mergeCell ref="P1:Q1"/>
    <mergeCell ref="R1:S1"/>
    <mergeCell ref="T1:U1"/>
    <mergeCell ref="V1:W1"/>
    <mergeCell ref="X1:Y1"/>
    <mergeCell ref="Z1:AA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AVDUSINOVIC Elmir</dc:creator>
  <cp:lastModifiedBy>AVDUSINOVIC Elmir</cp:lastModifiedBy>
  <dcterms:created xsi:type="dcterms:W3CDTF">2026-02-09T09:54:15Z</dcterms:created>
  <dcterms:modified xsi:type="dcterms:W3CDTF">2026-02-10T11:10:43Z</dcterms:modified>
</cp:coreProperties>
</file>